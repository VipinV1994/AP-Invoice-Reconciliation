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ing3\Desktop\New folder\"/>
    </mc:Choice>
  </mc:AlternateContent>
  <xr:revisionPtr revIDLastSave="0" documentId="8_{2C10398D-31FF-46F8-AE5B-E1BC3246B058}" xr6:coauthVersionLast="47" xr6:coauthVersionMax="47" xr10:uidLastSave="{00000000-0000-0000-0000-000000000000}"/>
  <bookViews>
    <workbookView xWindow="-28920" yWindow="-690" windowWidth="29040" windowHeight="15720" xr2:uid="{2F285C8B-7660-4151-A276-AF44F3C645FA}"/>
  </bookViews>
  <sheets>
    <sheet name="Card Transactions" sheetId="1" r:id="rId1"/>
    <sheet name="Compliance_Dashboard" sheetId="2" r:id="rId2"/>
    <sheet name="Summary" sheetId="6" r:id="rId3"/>
  </sheets>
  <calcPr calcId="191029"/>
  <pivotCaches>
    <pivotCache cacheId="9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5" i="1" l="1"/>
  <c r="P3" i="1"/>
  <c r="P4" i="1"/>
  <c r="C2" i="2"/>
  <c r="B2" i="2"/>
  <c r="A2" i="2"/>
  <c r="O2" i="1"/>
  <c r="N2" i="1"/>
  <c r="D2" i="2" s="1"/>
  <c r="M2" i="1"/>
  <c r="L2" i="1"/>
  <c r="P2" i="1" l="1"/>
  <c r="E2" i="2" s="1"/>
</calcChain>
</file>

<file path=xl/sharedStrings.xml><?xml version="1.0" encoding="utf-8"?>
<sst xmlns="http://schemas.openxmlformats.org/spreadsheetml/2006/main" count="35" uniqueCount="30">
  <si>
    <t>Cardholder Name</t>
  </si>
  <si>
    <t>Department</t>
  </si>
  <si>
    <t>Transaction Date</t>
  </si>
  <si>
    <t>Statement Month</t>
  </si>
  <si>
    <t>Vendor Name</t>
  </si>
  <si>
    <t>Expense Category</t>
  </si>
  <si>
    <t>Business Purpose</t>
  </si>
  <si>
    <t>Transaction Amount</t>
  </si>
  <si>
    <t>Receipt Received (Yes/No)</t>
  </si>
  <si>
    <t>Expense Report Submitted (Yes/No)</t>
  </si>
  <si>
    <t>Policy Limit</t>
  </si>
  <si>
    <t>Over Limit Flag</t>
  </si>
  <si>
    <t>Missing Receipt Flag</t>
  </si>
  <si>
    <t>Duplicate Flag</t>
  </si>
  <si>
    <t>Days Outstanding</t>
  </si>
  <si>
    <t>Risk Level</t>
  </si>
  <si>
    <t>Total Transactions</t>
  </si>
  <si>
    <t>Over Limit Count</t>
  </si>
  <si>
    <t>Missing Receipts</t>
  </si>
  <si>
    <t>Duplicates</t>
  </si>
  <si>
    <t>High Risk Transactions</t>
  </si>
  <si>
    <t>Row Labels</t>
  </si>
  <si>
    <t>Grand Total</t>
  </si>
  <si>
    <t>Low</t>
  </si>
  <si>
    <t>Column Labels</t>
  </si>
  <si>
    <t>Count of Cardholder Name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</si>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</sst>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counting 3 Department" refreshedDate="46064.388208796299" createdVersion="7" refreshedVersion="7" minRefreshableVersion="3" recordCount="4" xr:uid="{11A3D848-D70B-45ED-908A-112C0EF455AC}">
  <cacheSource type="worksheet">
    <worksheetSource ref="A1:P5" sheet="Card Transactions"/>
  </cacheSource>
  <cacheFields count="16">
    <cacheField name="Cardholder Name" numFmtId="0">
      <sharedItems count="4">
        <s v="a"/>
        <s v="b"/>
        <s v="c"/>
        <s v="d"/>
      </sharedItems>
    </cacheField>
    <cacheField name="Department" numFmtId="0">
      <sharedItems containsNonDate="0" containsString="0" containsBlank="1"/>
    </cacheField>
    <cacheField name="Transaction Date" numFmtId="0">
      <sharedItems containsNonDate="0" containsString="0" containsBlank="1"/>
    </cacheField>
    <cacheField name="Statement Month" numFmtId="0">
      <sharedItems containsNonDate="0" containsString="0" containsBlank="1"/>
    </cacheField>
    <cacheField name="Vendor Name" numFmtId="0">
      <sharedItems containsNonDate="0" containsString="0" containsBlank="1"/>
    </cacheField>
    <cacheField name="Expense Category" numFmtId="0">
      <sharedItems containsNonDate="0" containsString="0" containsBlank="1"/>
    </cacheField>
    <cacheField name="Business Purpose" numFmtId="0">
      <sharedItems containsNonDate="0" containsString="0" containsBlank="1"/>
    </cacheField>
    <cacheField name="Transaction Amount" numFmtId="0">
      <sharedItems containsNonDate="0" containsString="0" containsBlank="1"/>
    </cacheField>
    <cacheField name="Receipt Received (Yes/No)" numFmtId="0">
      <sharedItems containsNonDate="0" containsString="0" containsBlank="1"/>
    </cacheField>
    <cacheField name="Expense Report Submitted (Yes/No)" numFmtId="0">
      <sharedItems containsNonDate="0" containsString="0" containsBlank="1"/>
    </cacheField>
    <cacheField name="Policy Limit" numFmtId="0">
      <sharedItems containsNonDate="0" containsString="0" containsBlank="1"/>
    </cacheField>
    <cacheField name="Over Limit Flag" numFmtId="0">
      <sharedItems containsBlank="1"/>
    </cacheField>
    <cacheField name="Missing Receipt Flag" numFmtId="0">
      <sharedItems containsBlank="1"/>
    </cacheField>
    <cacheField name="Duplicate Flag" numFmtId="0">
      <sharedItems containsBlank="1"/>
    </cacheField>
    <cacheField name="Days Outstanding" numFmtId="0">
      <sharedItems containsString="0" containsBlank="1" containsNumber="1" containsInteger="1" minValue="0" maxValue="0"/>
    </cacheField>
    <cacheField name="Risk Level" numFmtId="0">
      <sharedItems count="1"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m/>
    <m/>
    <m/>
    <m/>
    <m/>
    <m/>
    <m/>
    <m/>
    <m/>
    <m/>
    <s v="OK"/>
    <s v="OK"/>
    <s v="OK"/>
    <n v="0"/>
    <x v="0"/>
  </r>
  <r>
    <x v="1"/>
    <m/>
    <m/>
    <m/>
    <m/>
    <m/>
    <m/>
    <m/>
    <m/>
    <m/>
    <m/>
    <m/>
    <m/>
    <m/>
    <m/>
    <x v="0"/>
  </r>
  <r>
    <x v="2"/>
    <m/>
    <m/>
    <m/>
    <m/>
    <m/>
    <m/>
    <m/>
    <m/>
    <m/>
    <m/>
    <m/>
    <m/>
    <m/>
    <m/>
    <x v="0"/>
  </r>
  <r>
    <x v="3"/>
    <m/>
    <m/>
    <m/>
    <m/>
    <m/>
    <m/>
    <m/>
    <m/>
    <m/>
    <m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1A899-80F3-44B7-8530-1D12887E8B3A}" name="PivotTable8" cacheId="9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9" firstHeaderRow="1" firstDataRow="2" firstDataCol="1"/>
  <pivotFields count="16">
    <pivotField axis="axisRow" dataFiel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2"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5"/>
  </colFields>
  <colItems count="2">
    <i>
      <x/>
    </i>
    <i t="grand">
      <x/>
    </i>
  </colItems>
  <dataFields count="1">
    <dataField name="Count of Cardholder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AAA98-B559-4165-9081-8ED8B37FD21D}">
  <dimension ref="A1:P5"/>
  <sheetViews>
    <sheetView tabSelected="1" workbookViewId="0">
      <selection sqref="A1:P5"/>
    </sheetView>
  </sheetViews>
  <sheetFormatPr defaultColWidth="35" defaultRowHeight="15" x14ac:dyDescent="0.25"/>
  <cols>
    <col min="1" max="1" width="19.140625" customWidth="1"/>
    <col min="2" max="2" width="11.7109375" bestFit="1" customWidth="1"/>
    <col min="3" max="3" width="15.85546875" bestFit="1" customWidth="1"/>
    <col min="4" max="4" width="16.85546875" bestFit="1" customWidth="1"/>
    <col min="5" max="5" width="13.42578125" bestFit="1" customWidth="1"/>
    <col min="6" max="6" width="16.85546875" bestFit="1" customWidth="1"/>
    <col min="7" max="7" width="16.5703125" bestFit="1" customWidth="1"/>
    <col min="8" max="8" width="19" bestFit="1" customWidth="1"/>
    <col min="9" max="9" width="25.140625" bestFit="1" customWidth="1"/>
    <col min="11" max="11" width="11.140625" bestFit="1" customWidth="1"/>
    <col min="12" max="12" width="14.28515625" bestFit="1" customWidth="1"/>
    <col min="13" max="13" width="19.28515625" bestFit="1" customWidth="1"/>
    <col min="14" max="14" width="13.5703125" bestFit="1" customWidth="1"/>
    <col min="15" max="15" width="16.5703125" bestFit="1" customWidth="1"/>
    <col min="16" max="16" width="9.7109375" bestFit="1" customWidth="1"/>
  </cols>
  <sheetData>
    <row r="1" spans="1:16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26</v>
      </c>
      <c r="L2" t="str">
        <f>IF(H2&gt;K2,"Over Limit","OK")</f>
        <v>OK</v>
      </c>
      <c r="M2" t="str">
        <f>IF(I2="No","Missing Receipt","OK")</f>
        <v>OK</v>
      </c>
      <c r="N2" t="str">
        <f>IF(COUNTIFS($C:$C,C2,$E:$E,E2,$H:$H,H2)&gt;1,"Duplicate","OK")</f>
        <v>OK</v>
      </c>
      <c r="O2">
        <f ca="1">IF(J2="No",TODAY()-C2,0)</f>
        <v>0</v>
      </c>
      <c r="P2" t="str">
        <f ca="1">IF(L2="Over Limit","High",
IF(M2="Missing Receipt","High",
IF(N2="Duplicate","High",
IF(O2&gt;30,"Medium","Low"))))</f>
        <v>Low</v>
      </c>
    </row>
    <row r="3" spans="1:16" x14ac:dyDescent="0.25">
      <c r="A3" t="s">
        <v>27</v>
      </c>
      <c r="P3" t="str">
        <f t="shared" ref="P3:P4" si="0">IF(L3="Over Limit","High",
IF(M3="Missing Receipt","High",
IF(N3="Duplicate","High",
IF(O3&gt;30,"Medium","Low"))))</f>
        <v>Low</v>
      </c>
    </row>
    <row r="4" spans="1:16" x14ac:dyDescent="0.25">
      <c r="A4" t="s">
        <v>28</v>
      </c>
      <c r="P4" t="str">
        <f t="shared" si="0"/>
        <v>Low</v>
      </c>
    </row>
    <row r="5" spans="1:16" x14ac:dyDescent="0.25">
      <c r="A5" t="s">
        <v>29</v>
      </c>
      <c r="P5" t="str">
        <f>IF(L5="Over Limit","High",
IF(M5="Missing Receipt","High",
IF(N5="Duplicate","High",
IF(O5&gt;30,"Medium","Low"))))</f>
        <v>Low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CB017-29A0-49D8-9B9C-B9E27221D36E}">
  <dimension ref="A1:E2"/>
  <sheetViews>
    <sheetView workbookViewId="0">
      <selection activeCell="A3" sqref="A3"/>
    </sheetView>
  </sheetViews>
  <sheetFormatPr defaultRowHeight="15" x14ac:dyDescent="0.25"/>
  <cols>
    <col min="1" max="1" width="21" customWidth="1"/>
    <col min="2" max="2" width="17.28515625" customWidth="1"/>
    <col min="3" max="3" width="24.28515625" customWidth="1"/>
    <col min="4" max="4" width="14" customWidth="1"/>
    <col min="5" max="5" width="20.140625" customWidth="1"/>
  </cols>
  <sheetData>
    <row r="1" spans="1:5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</row>
    <row r="2" spans="1:5" x14ac:dyDescent="0.25">
      <c r="A2">
        <f>COUNTA('Card Transactions'!A2:A16)-1</f>
        <v>3</v>
      </c>
      <c r="B2">
        <f>COUNTIF('Card Transactions'!L2:L9,"Over Limit")</f>
        <v>0</v>
      </c>
      <c r="C2">
        <f>COUNTIF('Card Transactions'!M2:M8,"Missing Receipt")</f>
        <v>0</v>
      </c>
      <c r="D2">
        <f>COUNTIF('Card Transactions'!N2:N8,"Duplicate")</f>
        <v>0</v>
      </c>
      <c r="E2">
        <f ca="1">COUNTIF('Card Transactions'!P2:P8,"High")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429EF-104A-4245-81D8-70F12BEA1399}">
  <dimension ref="A3:C9"/>
  <sheetViews>
    <sheetView workbookViewId="0">
      <selection activeCell="G33" sqref="G33"/>
    </sheetView>
  </sheetViews>
  <sheetFormatPr defaultRowHeight="15" x14ac:dyDescent="0.25"/>
  <cols>
    <col min="1" max="1" width="25" bestFit="1" customWidth="1"/>
    <col min="2" max="2" width="16.28515625" bestFit="1" customWidth="1"/>
    <col min="3" max="3" width="11.28515625" bestFit="1" customWidth="1"/>
  </cols>
  <sheetData>
    <row r="3" spans="1:3" x14ac:dyDescent="0.25">
      <c r="A3" s="3" t="s">
        <v>25</v>
      </c>
      <c r="B3" s="3" t="s">
        <v>24</v>
      </c>
    </row>
    <row r="4" spans="1:3" x14ac:dyDescent="0.25">
      <c r="A4" s="3" t="s">
        <v>21</v>
      </c>
      <c r="B4" t="s">
        <v>23</v>
      </c>
      <c r="C4" t="s">
        <v>22</v>
      </c>
    </row>
    <row r="5" spans="1:3" x14ac:dyDescent="0.25">
      <c r="A5" s="4" t="s">
        <v>26</v>
      </c>
      <c r="B5" s="5">
        <v>1</v>
      </c>
      <c r="C5" s="5">
        <v>1</v>
      </c>
    </row>
    <row r="6" spans="1:3" x14ac:dyDescent="0.25">
      <c r="A6" s="4" t="s">
        <v>27</v>
      </c>
      <c r="B6" s="5">
        <v>1</v>
      </c>
      <c r="C6" s="5">
        <v>1</v>
      </c>
    </row>
    <row r="7" spans="1:3" x14ac:dyDescent="0.25">
      <c r="A7" s="4" t="s">
        <v>28</v>
      </c>
      <c r="B7" s="5">
        <v>1</v>
      </c>
      <c r="C7" s="5">
        <v>1</v>
      </c>
    </row>
    <row r="8" spans="1:3" x14ac:dyDescent="0.25">
      <c r="A8" s="4" t="s">
        <v>29</v>
      </c>
      <c r="B8" s="5">
        <v>1</v>
      </c>
      <c r="C8" s="5">
        <v>1</v>
      </c>
    </row>
    <row r="9" spans="1:3" x14ac:dyDescent="0.25">
      <c r="A9" s="4" t="s">
        <v>22</v>
      </c>
      <c r="B9" s="5">
        <v>4</v>
      </c>
      <c r="C9" s="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Card Transactions</vt:lpstr>
      <vt:lpstr>Compliance_Dashboard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Accounting 3 Department</dc:creator>
  <cp:lastModifiedBy>Accounting 3 Department</cp:lastModifiedBy>
  <dcterms:created xsi:type="dcterms:W3CDTF">2026-02-11T13:54:49Z</dcterms:created>
  <dcterms:modified xsi:type="dcterms:W3CDTF">2026-02-11T14:24:26Z</dcterms:modified>
</cp:coreProperties>
</file>